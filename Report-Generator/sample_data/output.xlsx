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801"/>
  <workbookPr/>
  <mc:AlternateContent xmlns:mc="http://schemas.openxmlformats.org/markup-compatibility/2006">
    <mc:Choice Requires="x15">
      <x15ac:absPath xmlns:x15ac="http://schemas.microsoft.com/office/spreadsheetml/2010/11/ac" url="C:\Users\vapt_trustaira\Downloads\gg\"/>
    </mc:Choice>
  </mc:AlternateContent>
  <xr:revisionPtr revIDLastSave="0" documentId="13_ncr:1_{3B6680C0-F3FE-49EA-9619-1AE44289F696}" xr6:coauthVersionLast="46" xr6:coauthVersionMax="47" xr10:uidLastSave="{00000000-0000-0000-0000-000000000000}"/>
  <bookViews>
    <workbookView xWindow="-120" yWindow="-120" windowWidth="20730" windowHeight="11040" xr2:uid="{00000000-000D-0000-FFFF-FFFF00000000}"/>
  </bookViews>
  <sheets>
    <sheet name="Summary" sheetId="2" r:id="rId1"/>
    <sheet name="Findings" sheetId="1" r:id="rId2"/>
    <sheet name="IP-Summary" sheetId="3" r:id="rId3"/>
  </sheets>
  <definedNames>
    <definedName name="_xlnm._FilterDatabase" localSheetId="1" hidden="1">Findings!$A$1:$M$12</definedName>
    <definedName name="_xlnm._FilterDatabase" localSheetId="2" hidden="1">'IP-Summary'!$A$1:$G$34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11" i="2" l="1"/>
  <c r="C11" i="2"/>
  <c r="B11" i="2"/>
</calcChain>
</file>

<file path=xl/sharedStrings.xml><?xml version="1.0" encoding="utf-8"?>
<sst xmlns="http://schemas.openxmlformats.org/spreadsheetml/2006/main" count="203" uniqueCount="147">
  <si>
    <t>Serial</t>
  </si>
  <si>
    <t>IP Address</t>
  </si>
  <si>
    <t>Issue Name</t>
  </si>
  <si>
    <t>Severity</t>
  </si>
  <si>
    <t>Status</t>
  </si>
  <si>
    <t>Description</t>
  </si>
  <si>
    <t>Impact</t>
  </si>
  <si>
    <t>Steps to Remediate</t>
  </si>
  <si>
    <t>Port</t>
  </si>
  <si>
    <t>Protocol</t>
  </si>
  <si>
    <t>CVE</t>
  </si>
  <si>
    <t>Plugin Output</t>
  </si>
  <si>
    <t>See Also</t>
  </si>
  <si>
    <t>10.124.49.10</t>
  </si>
  <si>
    <t>RHEL 9 : krb5 (RHSA-2024:6166)</t>
  </si>
  <si>
    <t>Critical</t>
  </si>
  <si>
    <t>New</t>
  </si>
  <si>
    <t>The remote Red Hat host is missing one or more security updates for krb5.</t>
  </si>
  <si>
    <t>The remote Redhat Enterprise Linux 9 host has packages installed that are affected by multiple vulnerabilities as referenced in the RHSA-2024:6166 advisory.
    Kerberos is a network authentication system, which can improve the security of your network by eliminating     the insecure practice of sending passwords over the network in unencrypted form. It allows clients and     servers to authenticate to each other with the help of a trusted third party, the Kerberos key     distribution center (KDC).
    Security Fix(es):
    * krb5: GSS message token handling (CVE-2024-37371)
    * krb5: GSS message token handling (CVE-2024-37370)
    For more details about the security issue(s), including the impact, a CVSS score, acknowledgments, and     other related information, refer to the CVE page(s) listed in the References section.
Tenable has extracted the preceding description block directly from the Red Hat Enterprise Linux security advisory.
Note that Nessus has not tested for these issues but has instead relied only on the application's self-reported version number.</t>
  </si>
  <si>
    <t>Update the RHEL krb5 package based on the guidance in RHSA-2024:6166.</t>
  </si>
  <si>
    <t>0</t>
  </si>
  <si>
    <t>TCP</t>
  </si>
  <si>
    <t>CVE-2024-37370,CVE-2024-37371</t>
  </si>
  <si>
    <t>Plugin Output: 
Remote package installed : krb5-libs-1.21.1-1.el9
Should be                : krb5-libs-1.21.1-2.el9_4
Remote package installed : krb5-libs-1.21.1-1.el9
Should be                : krb5-libs-1.21.1-2.el9_4
NOTE: The vulnerability information above was derived by checking the
package versions of the affected packages from this advisory. This
scan would normally rely on checking for the presence of specific
installed and enabled Red Hat repositories, but either no repositories
were found in the repository directory, the repository files were empty
or missing, or the scan account lacked permissions to access them.
Please ensure that the repository files are populated and the scanning
account has permissions to examine the files in /etc/yum.repos.d/.</t>
  </si>
  <si>
    <t>https://access.redhat.com/security/updates/classification/#moderate
https://bugzilla.redhat.com/show_bug.cgi?id=2294676
https://bugzilla.redhat.com/show_bug.cgi?id=2294677
http://www.nessus.org/u?a4320d99
https://access.redhat.com/errata/RHSA-2024:6166</t>
  </si>
  <si>
    <t>RHEL 9 : webkit2gtk3 (RHSA-2025:19914)</t>
  </si>
  <si>
    <t>The remote Red Hat host is missing a security update for webkit2gtk3.</t>
  </si>
  <si>
    <t>The remote Redhat Enterprise Linux 9 host has packages installed that are affected by a vulnerability as referenced in the RHSA-2025:19914 advisory.
    WebKitGTK is the port of the portable web rendering engine WebKit to the GTK platform.
    Security Fix(es):
    * webkitgtk: Processing maliciously crafted web content may lead to an unexpected process crash     (CVE-2025-43343)
    For more details about the security issue(s), including the impact, a CVSS score, acknowledgments, and     other related information, refer to the CVE page(s) listed in the References section.
Tenable has extracted the preceding description block directly from the Red Hat Enterprise Linux security advisory.
Note that Nessus has not tested for this issue but has instead relied only on the application's self-reported version number.</t>
  </si>
  <si>
    <t>Update the RHEL webkit2gtk3 package based on the guidance in RHSA-2025:19914.</t>
  </si>
  <si>
    <t>CVE-2025-43343</t>
  </si>
  <si>
    <t>Plugin Output: 
NOTE: This vulnerability check contains fixes that apply to
packages only available in the Red Hat Enterprise Linux
Extended Update Support repository.
Access to this repository requires a paid RHEL subscription.
Remote package installed : webkit2gtk3-jsc-2.42.5-1.el9
Should be                : webkit2gtk3-jsc-2.50.1-1.el9_4
NOTE: The vulnerability information above was derived by checking the
package versions of the affected packages from this advisory. This
scan would normally rely on checking for the presence of specific
installed and enabled Red Hat repositories, but either no repositories
were found in the repository directory, the repository files were empty
or missing, or the scan account lacked permissions to access them.
Please ensure that the repository files are populated and the scanning
account has permissions to examine the files in /etc/yum.repos.d/.</t>
  </si>
  <si>
    <t>https://access.redhat.com/security/updates/classification/#important
https://bugzilla.redhat.com/show_bug.cgi?id=2403598
http://www.nessus.org/u?ba0a18d7
https://access.redhat.com/errata/RHSA-2025:19914</t>
  </si>
  <si>
    <t>RHEL 9 : webkit2gtk3 (RHSA-2025:20922)</t>
  </si>
  <si>
    <t>The remote Red Hat host is missing one or more security updates for webkit2gtk3.</t>
  </si>
  <si>
    <t>The remote Redhat Enterprise Linux 9 host has packages installed that are affected by multiple vulnerabilities as referenced in the RHSA-2025:20922 advisory.
    WebKitGTK is the port of the portable web rendering engine WebKit to the GTK platform.
    Security Fix(es):
    * webkitgtk: Processing maliciously crafted web content may lead to an unexpected Safari crash     (CVE-2025-43272)
    * webkitgtk: Processing maliciously crafted web content may lead to an unexpected process crash     (CVE-2025-43342)
    * webkitgtk: A website may be able to access sensor information without user consent (CVE-2025-43356)
    * webkitgtk: Processing maliciously crafted web content may lead to an unexpected Safari crash     (CVE-2025-43368)
    * webkitgtk: Processing maliciously crafted web content may lead to an unexpected process crash     (CVE-2025-43343)
    For more details about the security issue(s), including the impact, a CVSS score, acknowledgments, and     other related information, refer to the CVE page(s) listed in the References section.
Tenable has extracted the preceding description block directly from the Red Hat Enterprise Linux security advisory.
Note that Nessus has not tested for these issues but has instead relied only on the application's self-reported version number.</t>
  </si>
  <si>
    <t>Update the RHEL webkit2gtk3 package based on the guidance in RHSA-2025:20922.</t>
  </si>
  <si>
    <t>CVE-2025-43272,CVE-2025-43342,CVE-2025-43343,CVE-2025-43356,CVE-2025-43368</t>
  </si>
  <si>
    <t>Plugin Output: 
Remote package installed : webkit2gtk3-jsc-2.42.5-1.el9
Should be                : webkit2gtk3-jsc-2.50.1-1.el9_7
NOTE: The vulnerability information above was derived by checking the
package versions of the affected packages from this advisory. This
scan would normally rely on checking for the presence of specific
installed and enabled Red Hat repositories, but either no repositories
were found in the repository directory, the repository files were empty
or missing, or the scan account lacked permissions to access them.
Please ensure that the repository files are populated and the scanning
account has permissions to examine the files in /etc/yum.repos.d/.</t>
  </si>
  <si>
    <t>https://access.redhat.com/security/updates/classification/#important
https://bugzilla.redhat.com/show_bug.cgi?id=2397626
https://bugzilla.redhat.com/show_bug.cgi?id=2397627
https://bugzilla.redhat.com/show_bug.cgi?id=2397628
https://bugzilla.redhat.com/show_bug.cgi?id=2397630
https://bugzilla.redhat.com/show_bug.cgi?id=2403598
http://www.nessus.org/u?9f2ba592
https://access.redhat.com/errata/RHSA-2025:20922</t>
  </si>
  <si>
    <t>RHEL 9 : sqlite (RHSA-2025:20936)</t>
  </si>
  <si>
    <t>The remote Red Hat host is missing a security update for sqlite.</t>
  </si>
  <si>
    <t>The remote Redhat Enterprise Linux 9 host has packages installed that are affected by a vulnerability as referenced in the RHSA-2025:20936 advisory.
    SQLite is a C library that implements an SQL database engine. A large subset of SQL92 is supported. A     complete database is stored in a single disk file. The API is designed for convenience and ease of use.
    Applications that link against SQLite can enjoy the power and flexibility of an SQL database without the     administrative hassles of supporting a separate database server.
    Security Fix(es):
    * sqlite: Integer Truncation in SQLite (CVE-2025-6965)
    For more details about the security issue(s), including the impact, a CVSS score, acknowledgments, and     other related information, refer to the CVE page(s) listed in the References section.
Tenable has extracted the preceding description block directly from the Red Hat Enterprise Linux security advisory.
Note that Nessus has not tested for this issue but has instead relied only on the application's self-reported version number.</t>
  </si>
  <si>
    <t>Update the RHEL sqlite package based on the guidance in RHSA-2025:20936.</t>
  </si>
  <si>
    <t>CVE-2025-6965</t>
  </si>
  <si>
    <t>Plugin Output: 
Remote package installed : sqlite-libs-3.34.1-7.el9_3
Should be                : sqlite-libs-3.34.1-9.el9_7
NOTE: The vulnerability information above was derived by checking the
package versions of the affected packages from this advisory. This
scan would normally rely on checking for the presence of specific
installed and enabled Red Hat repositories, but either no repositories
were found in the repository directory, the repository files were empty
or missing, or the scan account lacked permissions to access them.
Please ensure that the repository files are populated and the scanning
account has permissions to examine the files in /etc/yum.repos.d/.</t>
  </si>
  <si>
    <t>https://access.redhat.com/security/updates/classification/#important
https://bugzilla.redhat.com/show_bug.cgi?id=2380149
https://issues.redhat.com/browse/RHEL-89962
http://www.nessus.org/u?f5349cc4
https://access.redhat.com/errata/RHSA-2025:20936</t>
  </si>
  <si>
    <t>RHEL 9 : kernel (RHSA-2025:22865)</t>
  </si>
  <si>
    <t>The remote Red Hat host is missing one or more security updates for kernel.</t>
  </si>
  <si>
    <t>The remote Redhat Enterprise Linux 9 host has packages installed that are affected by multiple vulnerabilities as referenced in the RHSA-2025:22865 advisory.
    The kernel packages contain the Linux kernel, the core of any Linux operating system.
    Security Fix(es):
    * kernel: can: j1939: implement NETDEV_UNREGISTER notification handler (CVE-2025-39925)
    * kernel: net/mlx5: fs, fix UAF in flow counter release (CVE-2025-39979)
    For more details about the security issue(s), including the impact, a CVSS score, acknowledgments, and     other related information, refer to the CVE page(s) listed in the References section.
Tenable has extracted the preceding description block directly from the Red Hat Enterprise Linux security advisory.
Note that Nessus has not tested for these issues but has instead relied only on the application's self-reported version number.</t>
  </si>
  <si>
    <t>Update the RHEL kernel package based on the guidance in RHSA-2025:22865.</t>
  </si>
  <si>
    <t>CVE-2025-39925,CVE-2025-39979</t>
  </si>
  <si>
    <t>Plugin Output: 
Remote package installed : kernel-5.14.0-427.13.1.el9_4
Should be                : kernel-5.14.0-611.13.1.el9_7
Remote package installed : kernel-core-5.14.0-427.13.1.el9_4
Should be                : kernel-core-5.14.0-611.13.1.el9_7
Remote package installed : kernel-modules-5.14.0-427.13.1.el9_4
Should be                : kernel-modules-5.14.0-611.13.1.el9_7
Remote package installed : kernel-modules-core-5.14.0-427.13.1.el9_4
Should be                : kernel-modules-core-5.14.0-611.13.1.el9_7
Remote package installed : kernel-tools-5.14.0-427.13.1.el9_4
Should be                : kernel-tools-5.14.0-611.13.1.el9_7
Remote package installed : kernel-tools-libs-5.14.0-427.13.1.el9_4
Should be                : kernel-tools-libs-5.14.0-611.13.1.el9_7
Remote package installed : python3-perf-5.14.0-427.13.1.el9_4
Should be                : python3-perf-5.14.0-611.13.1.el9_7
NOTE: The vulnerability information above was derived by checking the
package versions of the affected packages from this advisory. This
scan would normally rely on checking for the presence of specific
installed and enabled Red Hat repositories, but either no repositories
were found in the repository directory, the repository files were empty
or missing, or the scan account lacked permissions to access them.
Please ensure that the repository files are populated and the scanning
account has permissions to examine the files in /etc/yum.repos.d/.</t>
  </si>
  <si>
    <t>https://access.redhat.com/security/updates/classification/#moderate
https://bugzilla.redhat.com/show_bug.cgi?id=2400629
https://bugzilla.redhat.com/show_bug.cgi?id=2404109
http://www.nessus.org/u?edd1da0d
https://access.redhat.com/errata/RHSA-2025:22865</t>
  </si>
  <si>
    <t>RHEL 9 : openssl (RHSA-2026:1519)</t>
  </si>
  <si>
    <t>The remote Red Hat host is missing one or more security updates for openssl.</t>
  </si>
  <si>
    <t>The remote Redhat Enterprise Linux 9 host has packages installed that are affected by multiple vulnerabilities as referenced in the RHSA-2026:1519 advisory.
    OpenSSL is a toolkit that implements the Secure Sockets Layer (SSL) and Transport Layer Security (TLS)     protocols, as well as a full-strength general-purpose cryptography library.
    Security Fix(es):
    * openssl: OpenSSL: Remote code execution or Denial of Service via oversized Initialization Vector in CMS     parsing (CVE-2025-15467)
    * openssl: OpenSSL: Arbitrary code execution due to out-of-bounds write in PKCS#12 processing     (CVE-2025-69419)
    For more details about the security issue(s), including the impact, a CVSS score, acknowledgments, and     other related information, refer to the CVE page(s) listed in the References section.
Tenable has extracted the preceding description block directly from the Red Hat Enterprise Linux security advisory.
Note that Nessus has not tested for these issues but has instead relied only on the application's self-reported version number.</t>
  </si>
  <si>
    <t>Update the RHEL openssl package based on the guidance in RHSA-2026:1519.</t>
  </si>
  <si>
    <t>CVE-2025-15467,CVE-2025-69419</t>
  </si>
  <si>
    <t>Plugin Output: 
NOTE: This vulnerability check contains fixes that apply to
packages only available in the Red Hat Enterprise Linux
Extended Update Support repository.
Access to this repository requires a paid RHEL subscription.
Remote package installed : openssl-3.0.7-27.el9
Should be                : openssl-3.0.7-29.el9_4.2
Remote package installed : openssl-libs-3.0.7-27.el9
Should be                : openssl-libs-3.0.7-29.el9_4.2
NOTE: The vulnerability information above was derived by checking the
package versions of the affected packages from this advisory. This
scan would normally rely on checking for the presence of specific
installed and enabled Red Hat repositories, but either no repositories
were found in the repository directory, the repository files were empty
or missing, or the scan account lacked permissions to access them.
Please ensure that the repository files are populated and the scanning
account has permissions to examine the files in /etc/yum.repos.d/.</t>
  </si>
  <si>
    <t>https://access.redhat.com/security/updates/classification/#important
https://bugzilla.redhat.com/show_bug.cgi?id=2430376
https://bugzilla.redhat.com/show_bug.cgi?id=2430386
http://www.nessus.org/u?7d8d4a34
https://access.redhat.com/errata/RHSA-2026:1519</t>
  </si>
  <si>
    <t>10.124.9.94</t>
  </si>
  <si>
    <t>Oracle Java SE Multiple Vulnerabilities (April 2025 CPU)</t>
  </si>
  <si>
    <t>Open</t>
  </si>
  <si>
    <t>The remote host is affected by multiple vulnerabilities</t>
  </si>
  <si>
    <t>The versions of Java installed on the remote host are affected by multiple vulnerabilities as referenced in the April 2025 CPU advisory.
  - Vulnerability in the Oracle Java SE, Oracle GraalVM Enterprise Edition product of Oracle Java SE     (component: JavaFX (gstreamer)). Supported versions that are affected are Oracle Java SE: 8u441,     8u441-perf; Oracle GraalVM Enterprise Edition: 20.3.17 and 21.3.13. Difficult to exploit vulnerability     allows unauthenticated attacker with network access via multiple protocols to compromise Oracle Java SE,     Oracle GraalVM Enterprise Edition. Successful attacks require human interaction from a person other than     the attacker. Successful attacks of this vulnerability can result in takeover of Oracle Java SE, Oracle     GraalVM Enterprise Edition. (CVE-2024-47606)
  - Vulnerability in the Oracle Java SE, Oracle GraalVM Enterprise Edition product of Oracle Java SE     (component: JavaFX (WebKitGTK)). Supported versions that are affected are Oracle Java SE: 8u441; Oracle     GraalVM Enterprise Edition: 20.3.17 and 21.3.13. Difficult to exploit vulnerability allows     unauthenticated attacker with network access via multiple protocols to compromise Oracle Java SE, Oracle     GraalVM Enterprise Edition. Successful attacks require human interaction from a person other than the     attacker. Successful attacks of this vulnerability can result in takeover of Oracle Java SE, Oracle     GraalVM Enterprise Edition. (CVE-2024-54534)
  - Vulnerability in the Oracle GraalVM for JDK product of Oracle Java SE (component: Node (Node.js)).     Supported versions that are affected are Oracle GraalVM for JDK: 17.0.14 and 21.0.6. Easily exploitable     vulnerability allows unauthenticated attacker with logon to the infrastructure where Oracle GraalVM for     JDK executes to compromise Oracle GraalVM for JDK. Successful attacks of this vulnerability can result in      unauthorized creation, deletion or modification access to critical data or all Oracle GraalVM for JDK      accessible data as well as unauthorized access to critical data or complete access to all Oracle GraalVM      for JDK accessible data. (CVE-2025-23083)
Note that Nessus has not tested for these issues but has instead relied only on the application's self-reported version number.</t>
  </si>
  <si>
    <t>Apply the appropriate patch according to the April 2025 Oracle Critical Patch Update advisory.</t>
  </si>
  <si>
    <t>CVE-2024-27856,CVE-2024-40866,CVE-2024-44185,CVE-2024-44187,CVE-2024-44244,CVE-2024-44296,CVE-2024-44308,CVE-2024-44309,CVE-2024-47544,CVE-2024-47545,CVE-2024-47546,CVE-2024-47596,CVE-2024-47597,CVE-2024-47606,CVE-2024-47775,CVE-2024-47776,CVE-2024-47777,CVE-2024-47778,CVE-2024-54479,CVE-2024-54502,CVE-2024-54505,CVE-2024-54508,CVE-2024-54534,CVE-2024-54543,CVE-2025-23083,CVE-2025-23084,CVE-2025-23085,CVE-2025-21587,CVE-2025-24143,CVE-2025-24150,CVE-2025-24158,CVE-2025-24162,CVE-2025-30691,CVE-2025-30698</t>
  </si>
  <si>
    <t>Plugin Output: 
  Path              : /usr/lib/jvm/jdk-11-oracle-x64/
  Installed version : 11.0.22.9.219 / build 11.0.22
  Fixed version     : Upgrade to version 11.0.27 or greater</t>
  </si>
  <si>
    <t>https://www.oracle.com/docs/tech/security-alerts/cpuapr2025csaf.json
https://www.oracle.com/security-alerts/cpuapr2025.html</t>
  </si>
  <si>
    <t>Oracle Java SE Multiple Vulnerabilities (July 2025 CPU)</t>
  </si>
  <si>
    <t>The versions of Java installed on the remote host are affected by multiple vulnerabilities as referenced in the July 2025 CPU advisory.
  - Vulnerability in Oracle Java SE (component: JavaFX (libxml2)). Supported versions that are affected are     Oracle Java SE: 8u451-b50. Difficult to exploit vulnerability allows unauthenticated attacker with     network access via multiple protocols to compromise Oracle Java SE. Successful attacks require human     interaction from a person other than the attacker. Successful attacks of this vulnerability can result in     takeover of Oracle Java SE. (CVE-2024-40896)
  - Vulnerability in the Oracle Java SE, Oracle GraalVM for JDK, Oracle GraalVM Enterprise Edition product of     Oracle Java SE (component: 2D). Supported versions that are affected are Oracle Java SE: 8u451,     8u451-perf, 11.0.27, 17.0.15, 21.0.7, 24.0.1; Oracle GraalVM for JDK: 17.0.15, 21.0.7 and 24.0.1; Oracle     GraalVM Enterprise Edition: 21.3.14. Difficult to exploit vulnerability allows unauthenticated attacker     with network access via multiple protocols to compromise Oracle Java SE, Oracle GraalVM for JDK, Oracle     GraalVM Enterprise Edition. Successful attacks of this vulnerability can result in takeover of Oracle     Java SE, Oracle GraalVM for JDK, Oracle GraalVM Enterprise Edition. (CVE-2025-30749)
  - Vulnerability in the Oracle Java SE, Oracle GraalVM for JDK, Oracle GraalVM Enterprise Edition product of     Oracle Java SE (component: Networking). Supported versions that are affected are Oracle Java SE:     8u451-perf, 11.0.27, 17.0.15, 21.0.7, 24.0.1; Oracle GraalVM for JDK: 17.0.15, 21.0.7 and 24.0.1; Oracle     GraalVM Enterprise Edition: 21.3.14. Easily exploitable vulnerability allows unauthenticated attacker     with network access via multiple protocols to compromise Oracle Java SE, Oracle GraalVM for JDK, Oracle     GraalVM Enterprise Edition. While the vulnerability is in Oracle Java SE, Oracle GraalVM for JDK, Oracle     GraalVM Enterprise Edition, attacks may significantly impact additional products (scope change).     Successful attacks of this vulnerability can result in unauthorized access to critical data or complete     access to all Oracle Java SE, Oracle GraalVM for JDK, Oracle GraalVM Enterprise Edition accessible data.     (CVE-2025-50059)
Note that Nessus has not tested for these issues but has instead relied only on the application's self-reported version number.</t>
  </si>
  <si>
    <t>Apply the appropriate patch according to the July 2025 Oracle Critical Patch Update advisory.</t>
  </si>
  <si>
    <t>CVE-2024-40896,CVE-2024-55549,CVE-2024-56171,CVE-2025-24855,CVE-2025-24928,CVE-2025-27113,CVE-2025-30749,CVE-2025-30752,CVE-2025-30754,CVE-2025-30761,CVE-2025-32414,CVE-2025-32415,CVE-2025-50059,CVE-2025-50063,CVE-2025-50106</t>
  </si>
  <si>
    <t>Plugin Output: 
  Path              : /usr/lib/jvm/jdk-11-oracle-x64/
  Installed version : 11.0.22.9.219 / build 11.0.22
  Fixed version     : Upgrade to version 11.0.28 or greater</t>
  </si>
  <si>
    <t>https://www.oracle.com/docs/tech/security-alerts/cpujul2025csaf.json
https://www.oracle.com/security-alerts/cpujul2025.html</t>
  </si>
  <si>
    <t>10.20.20.100</t>
  </si>
  <si>
    <t>VMware vCenter Server 7.0 &lt; 7.0U3r / 8.0 &lt; 8.0U2d Multiple Vulnerabilities (VMSA-2024-0012)</t>
  </si>
  <si>
    <t>The VMware vCenter Server is affected by multiple vulnerabilities.</t>
  </si>
  <si>
    <t>The version of VMware vCenter Server installed on the remote host is 7.0 prior to 7.0U3r, or 8.0 prior to 8.0U2d. It is, therefore, affected by a partial information disclosure vulnerability as referenced in the VMSA-2024-0012 advisory:
  - The vCenter Server contains multiple heap-overflow vulnerabilities in the implementation of the DCERPC protocol.     (CVE-2024-37079, CVE-2024-37080)
  - The vCenter Server contains multiple local privilege escalation vulnerabilities due to misconfiguration of sudo.     (CVE-2024-37081)   Note that Nessus has not tested for these issues but has instead relied only on the application's self-reported version number.</t>
  </si>
  <si>
    <t>Upgrade to VMware vCenter Server 7.0U3r, or 8.0U2d or later.</t>
  </si>
  <si>
    <t>443</t>
  </si>
  <si>
    <t>CVE-2024-37079,CVE-2024-37080,CVE-2024-37081</t>
  </si>
  <si>
    <t>Plugin Output: 
  Installed version : 7.0 Build 22837322
  Fixed version     : 7.0 Build 24026615 (U3r)</t>
  </si>
  <si>
    <t>http://www.nessus.org/u?448f7cb3
https://core.vmware.com/resource/vmsa-2024-0012-questions-answers</t>
  </si>
  <si>
    <t>192.168.2.236</t>
  </si>
  <si>
    <t>RHEL 9 : firefox (RHSA-2025:23034)</t>
  </si>
  <si>
    <t>Resolved</t>
  </si>
  <si>
    <t>The remote Redhat Enterprise Linux 9 host has packages installed that are affected by multiple vulnerabilities as referenced in the RHSA-2025:23034 advisory.
    Mozilla Firefox is an open-source web browser, designed for standards compliance, performance, and     portability.
    Security Fix(es):
    * firefox: Memory safety bugs fixed in Firefox ESR 140.6, Thunderbird ESR 140.6, Firefox 146 and     Thunderbird 146 (CVE-2025-14333)
    * firefox: Use-after-free in the WebRTC: Signaling component (CVE-2025-14321)
    * firefox: JIT miscompilation in the JavaScript Engine: JIT component (CVE-2025-14325)
    * firefox: Sandbox escape due to incorrect boundary conditions in the Graphics: CanvasWebGL component     (CVE-2025-14322)
    * firefox: Privilege escalation in the Netmonitor component (CVE-2025-14328)
    * firefox: Privilege escalation in the Netmonitor component (CVE-2025-14329)
    * firefox: Same-origin policy bypass in the Request Handling component (CVE-2025-14331)
    * firefox: Privilege escalation in the DOM: Notifications component (CVE-2025-14323)
    * firefox: JIT miscompilation in the JavaScript Engine: JIT component (CVE-2025-14330)
    * firefox: JIT miscompilation in the JavaScript Engine: JIT component (CVE-2025-14324)
    For more details about the security issue(s), including the impact, a CVSS score, acknowledgments, and     other related information, refer to the CVE page(s) listed in the References section.
Tenable has extracted the preceding description block directly from the Red Hat Enterprise Linux security advisory.
Note that Nessus has not tested for these issues but has instead relied only on the application's self-reported version number.</t>
  </si>
  <si>
    <t>Update the RHEL firefox package based on the guidance in RHSA-2025:23034.</t>
  </si>
  <si>
    <t>CVE-2025-14321,CVE-2025-14322,CVE-2025-14323,CVE-2025-14324,CVE-2025-14325,CVE-2025-14328,CVE-2025-14329,CVE-2025-14330,CVE-2025-14331,CVE-2025-14333</t>
  </si>
  <si>
    <t>[Remediated - No longer detected]</t>
  </si>
  <si>
    <t>https://access.redhat.com/security/updates/classification/#important
https://bugzilla.redhat.com/show_bug.cgi?id=2420502
https://bugzilla.redhat.com/show_bug.cgi?id=2420503
https://bugzilla.redhat.com/show_bug.cgi?id=2420504
https://bugzilla.redhat.com/show_bug.cgi?id=2420506
https://bugzilla.redhat.com/show_bug.cgi?id=2420508
https://bugzilla.redhat.com/show_bug.cgi?id=2420509
https://bugzilla.redhat.com/show_bug.cgi?id=2420512
https://bugzilla.redhat.com/show_bug.cgi?id=2420513
https://bugzilla.redhat.com/show_bug.cgi?id=2420516
https://bugzilla.redhat.com/show_bug.cgi?id=2420517
http://www.nessus.org/u?a39b1383
https://access.redhat.com/errata/RHSA-2025:23034</t>
  </si>
  <si>
    <t>RHEL 9 : firefox (RHSA-2025:18155)</t>
  </si>
  <si>
    <t>The remote Redhat Enterprise Linux 9 host has packages installed that are affected by multiple vulnerabilities as referenced in the RHSA-2025:18155 advisory.
    Mozilla Firefox is an open-source web browser, designed for standards compliance, performance, and     portability.
    Security Fix(es):
    * thunderbird: firefox: Memory safety bugs (CVE-2025-11714)
    * thunderbird: firefox: Out of bounds read/write in a privileged process triggered by WebGL textures     (CVE-2025-11709)
    * thunderbird: firefox: Cross-process information leaked due to malicious IPC messages (CVE-2025-11710)
    * thunderbird: firefox: Use-after-free in MediaTrackGraphImpl::GetInstance() (CVE-2025-11708)
    * thunderbird: firefox: An OBJECT tag type attribute overrode browser behavior on web resources without a     content-type (CVE-2025-11712)
    * thunderbird: firefox: Memory safety bugs fixed in Firefox ESR 140.4, Thunderbird ESR 140.4, Firefox 144     and Thunderbird 144 (CVE-2025-11715)
    * thunderbird: firefox: Some non-writable Object properties could be modified (CVE-2025-11711)
    For more details about the security issue(s), including the impact, a CVSS score, acknowledgments, and     other related information, refer to the CVE page(s) listed in the References section.
Tenable has extracted the preceding description block directly from the Red Hat Enterprise Linux security advisory.
Note that Nessus has not tested for these issues but has instead relied only on the application's self-reported version number.</t>
  </si>
  <si>
    <t>Update the RHEL firefox package based on the guidance in RHSA-2025:18155.</t>
  </si>
  <si>
    <t>CVE-2025-11708,CVE-2025-11709,CVE-2025-11710,CVE-2025-11711,CVE-2025-11712,CVE-2025-11714,CVE-2025-11715</t>
  </si>
  <si>
    <t>https://access.redhat.com/security/updates/classification/#important
https://bugzilla.redhat.com/show_bug.cgi?id=2403763
https://bugzilla.redhat.com/show_bug.cgi?id=2403765
https://bugzilla.redhat.com/show_bug.cgi?id=2403768
https://bugzilla.redhat.com/show_bug.cgi?id=2403769
https://bugzilla.redhat.com/show_bug.cgi?id=2403770
https://bugzilla.redhat.com/show_bug.cgi?id=2403774
https://bugzilla.redhat.com/show_bug.cgi?id=2403776
http://www.nessus.org/u?2bfd863b
https://access.redhat.com/errata/RHSA-2025:18155</t>
  </si>
  <si>
    <t>192.168.1.236</t>
  </si>
  <si>
    <t>10.124.49.15</t>
  </si>
  <si>
    <t>192.168.1.36</t>
  </si>
  <si>
    <t>192.168.1.80</t>
  </si>
  <si>
    <t>High</t>
  </si>
  <si>
    <t>10.20.30.50</t>
  </si>
  <si>
    <t>10.20.20.50</t>
  </si>
  <si>
    <t>10.20.20.105</t>
  </si>
  <si>
    <t>10.20.20.101</t>
  </si>
  <si>
    <t>10.124.49.14</t>
  </si>
  <si>
    <t>10.20.20.54</t>
  </si>
  <si>
    <t>192.168.1.35</t>
  </si>
  <si>
    <t>Medium</t>
  </si>
  <si>
    <t>10.20.20.53</t>
  </si>
  <si>
    <t>10.20.20.55</t>
  </si>
  <si>
    <t>10.124.49.13</t>
  </si>
  <si>
    <t>10.20.20.104</t>
  </si>
  <si>
    <t>10.20.20.51</t>
  </si>
  <si>
    <t>10.20.20.52</t>
  </si>
  <si>
    <t>10.20.30.52</t>
  </si>
  <si>
    <t>172.29.3.184</t>
  </si>
  <si>
    <t>192.168.1.116</t>
  </si>
  <si>
    <t>192.168.1.210</t>
  </si>
  <si>
    <t>10.20.20.102</t>
  </si>
  <si>
    <t>10.20.20.103</t>
  </si>
  <si>
    <t>192.168.1.235</t>
  </si>
  <si>
    <t>Statement of Methodology:</t>
  </si>
  <si>
    <t>IP:</t>
  </si>
  <si>
    <t>10.124.1.216, 10.124.49.10, 10.124.49.11, 10.124.49.12, 10.124.49.13, 10.124.49.14, 10.124.49.15, 10.124.9.94, 10.20.20.100, 10.20.20.101, 10.20.20.102, 10.20.20.103, 10.20.20.104, 10.20.20.105, 10.20.20.50, 10.20.20.51, 10.20.20.52, 10.20.20.53, 10.20.20.54, 10.20.20.55, 10.20.30.50, 10.20.30.51, 10.20.30.52, 172.29.3.184, 192.168.1.116, 192.168.1.210, 192.168.1.235, 192.168.1.236, 192.168.1.35, 192.168.1.36, 192.168.1.80, 192.168.2.236, 192.168.2.237</t>
  </si>
  <si>
    <t>Note:</t>
  </si>
  <si>
    <t>Previous Scan</t>
  </si>
  <si>
    <t>Current Scan</t>
  </si>
  <si>
    <t>Change</t>
  </si>
  <si>
    <t>+38</t>
  </si>
  <si>
    <t>+97</t>
  </si>
  <si>
    <t>Low</t>
  </si>
  <si>
    <t>Informational</t>
  </si>
  <si>
    <t>Grand Total</t>
  </si>
  <si>
    <t>Total</t>
  </si>
  <si>
    <t>10.124.1.216</t>
  </si>
  <si>
    <t>10.20.30.51</t>
  </si>
  <si>
    <t>10.124.49.12</t>
  </si>
  <si>
    <t>10.124.49.11</t>
  </si>
  <si>
    <t>192.168.2.237</t>
  </si>
  <si>
    <t>Team Infrastructure Server Security Assessment</t>
  </si>
  <si>
    <t>Server Security Assessment</t>
  </si>
  <si>
    <t>This vulnerability scan report includes a comparison with previous reports, highlighting new issues and those resolved.</t>
  </si>
  <si>
    <t>Mitigated</t>
  </si>
  <si>
    <t>+270</t>
  </si>
  <si>
    <t>+405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</si>
</sst>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b/>
      <sz val="11"/>
      <color rgb="FFFFFFFF"/>
      <name val="Calibri"/>
      <family val="2"/>
    </font>
    <font>
      <b/>
      <sz val="10"/>
      <color rgb="FFFFFFFF"/>
      <name val="Calibri"/>
      <family val="2"/>
    </font>
    <font>
      <b/>
      <sz val="10"/>
      <color rgb="FF0070C0"/>
      <name val="Calibri"/>
      <family val="2"/>
    </font>
    <font>
      <b/>
      <sz val="10"/>
      <color rgb="FFFF0000"/>
      <name val="Calibri"/>
      <family val="2"/>
    </font>
    <font>
      <b/>
      <sz val="10"/>
      <color rgb="FF00B050"/>
      <name val="Calibri"/>
      <family val="2"/>
    </font>
    <font>
      <b/>
      <sz val="10"/>
      <color rgb="FF000000"/>
      <name val="Calibri"/>
      <family val="2"/>
    </font>
    <font>
      <b/>
      <sz val="14"/>
      <color rgb="FFFFFFFF"/>
      <name val="Calibri"/>
      <family val="2"/>
    </font>
    <font>
      <b/>
      <sz val="11"/>
      <color rgb="FFFFFFFF"/>
      <name val="Calibri"/>
      <family val="2"/>
    </font>
    <font>
      <b/>
      <sz val="11"/>
      <color rgb="FFFF0000"/>
      <name val="Calibri"/>
      <family val="2"/>
    </font>
    <font>
      <sz val="10"/>
      <color rgb="FF000000"/>
      <name val="Calibri"/>
      <family val="2"/>
    </font>
    <font>
      <b/>
      <sz val="11"/>
      <name val="Calibri"/>
      <family val="2"/>
    </font>
  </fonts>
  <fills count="8">
    <fill>
      <patternFill patternType="none"/>
    </fill>
    <fill>
      <patternFill patternType="gray125"/>
    </fill>
    <fill>
      <patternFill patternType="solid">
        <fgColor rgb="FF8B0000"/>
        <bgColor rgb="FF8B0000"/>
      </patternFill>
    </fill>
    <fill>
      <patternFill patternType="solid">
        <fgColor rgb="FFFF0000"/>
        <bgColor rgb="FFFF0000"/>
      </patternFill>
    </fill>
    <fill>
      <patternFill patternType="solid">
        <fgColor rgb="FFFFA500"/>
        <bgColor rgb="FFFFA500"/>
      </patternFill>
    </fill>
    <fill>
      <patternFill patternType="solid">
        <fgColor rgb="FF8B0000"/>
        <bgColor rgb="FF8B0000"/>
      </patternFill>
    </fill>
    <fill>
      <patternFill patternType="solid">
        <fgColor rgb="FF87CEEB"/>
        <bgColor rgb="FF87CEEB"/>
      </patternFill>
    </fill>
    <fill>
      <patternFill patternType="solid">
        <fgColor rgb="FFFFFFFF"/>
        <bgColor rgb="FFFFFFFF"/>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5">
    <xf numFmtId="0" fontId="0" fillId="0" borderId="0" xfId="0"/>
    <xf numFmtId="0" fontId="8" fillId="5" borderId="1" xfId="0" applyFont="1" applyFill="1" applyBorder="1" applyAlignment="1">
      <alignment vertical="center" wrapText="1"/>
    </xf>
    <xf numFmtId="0" fontId="8" fillId="5" borderId="1" xfId="0" applyFont="1" applyFill="1" applyBorder="1" applyAlignment="1">
      <alignment vertical="center"/>
    </xf>
    <xf numFmtId="0" fontId="1" fillId="2" borderId="1" xfId="0" applyFont="1" applyFill="1" applyBorder="1" applyAlignment="1">
      <alignment horizontal="center"/>
    </xf>
    <xf numFmtId="0" fontId="2" fillId="2" borderId="1" xfId="0" applyFont="1" applyFill="1" applyBorder="1" applyAlignment="1">
      <alignment horizontal="center"/>
    </xf>
    <xf numFmtId="0" fontId="0" fillId="0" borderId="1" xfId="0" applyBorder="1" applyAlignment="1">
      <alignment horizontal="center"/>
    </xf>
    <xf numFmtId="0" fontId="9" fillId="0" borderId="1" xfId="0" applyFont="1" applyBorder="1" applyAlignment="1">
      <alignment horizontal="center"/>
    </xf>
    <xf numFmtId="0" fontId="2" fillId="3" borderId="1" xfId="0" applyFont="1" applyFill="1" applyBorder="1" applyAlignment="1">
      <alignment horizontal="center"/>
    </xf>
    <xf numFmtId="0" fontId="6" fillId="4" borderId="1" xfId="0" applyFont="1" applyFill="1" applyBorder="1" applyAlignment="1">
      <alignment horizontal="center"/>
    </xf>
    <xf numFmtId="0" fontId="6" fillId="6" borderId="1" xfId="0" applyFont="1" applyFill="1" applyBorder="1" applyAlignment="1">
      <alignment horizontal="center"/>
    </xf>
    <xf numFmtId="0" fontId="10" fillId="7" borderId="1" xfId="0" applyFont="1" applyFill="1" applyBorder="1" applyAlignment="1">
      <alignment horizontal="center"/>
    </xf>
    <xf numFmtId="0" fontId="11" fillId="0" borderId="1" xfId="0" applyFont="1" applyBorder="1" applyAlignment="1">
      <alignment horizontal="center"/>
    </xf>
    <xf numFmtId="0" fontId="1" fillId="2" borderId="1" xfId="0" applyFont="1" applyFill="1" applyBorder="1" applyAlignment="1">
      <alignment horizontal="center" vertical="center"/>
    </xf>
    <xf numFmtId="0" fontId="0" fillId="0" borderId="0" xfId="0" applyAlignment="1">
      <alignment horizontal="center"/>
    </xf>
    <xf numFmtId="0" fontId="0" fillId="0" borderId="1" xfId="0" applyBorder="1" applyAlignment="1">
      <alignment horizontal="center" vertical="top"/>
    </xf>
    <xf numFmtId="0" fontId="0" fillId="0" borderId="1" xfId="0" applyBorder="1" applyAlignment="1">
      <alignment horizontal="left" vertical="top"/>
    </xf>
    <xf numFmtId="0" fontId="2" fillId="2" borderId="1" xfId="0" applyFont="1" applyFill="1" applyBorder="1" applyAlignment="1">
      <alignment horizontal="center" vertical="top"/>
    </xf>
    <xf numFmtId="0" fontId="3" fillId="0" borderId="1" xfId="0" applyFont="1" applyBorder="1" applyAlignment="1">
      <alignment horizontal="center" vertical="top"/>
    </xf>
    <xf numFmtId="0" fontId="4" fillId="0" borderId="1" xfId="0" applyFont="1" applyBorder="1" applyAlignment="1">
      <alignment horizontal="center" vertical="top"/>
    </xf>
    <xf numFmtId="0" fontId="5" fillId="0" borderId="1" xfId="0" applyFont="1" applyBorder="1" applyAlignment="1">
      <alignment horizontal="center" vertical="top"/>
    </xf>
    <xf numFmtId="0" fontId="1" fillId="5" borderId="1" xfId="0" applyFont="1" applyFill="1" applyBorder="1" applyAlignment="1">
      <alignment horizontal="center"/>
    </xf>
    <xf numFmtId="0" fontId="9" fillId="0" borderId="1" xfId="0" quotePrefix="1" applyFont="1" applyBorder="1" applyAlignment="1">
      <alignment horizontal="center"/>
    </xf>
    <xf numFmtId="0" fontId="7" fillId="5" borderId="1" xfId="0" applyFont="1" applyFill="1" applyBorder="1" applyAlignment="1">
      <alignment horizontal="center" vertical="center"/>
    </xf>
    <xf numFmtId="0" fontId="0" fillId="0" borderId="1" xfId="0" applyBorder="1" applyAlignment="1">
      <alignment horizontal="left" vertical="center"/>
    </xf>
    <xf numFmtId="0" fontId="0" fillId="0" borderId="1" xfId="0" applyBorder="1" applyAlignment="1">
      <alignment horizontal="lef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1"/>
  <sheetViews>
    <sheetView tabSelected="1" workbookViewId="0">
      <selection activeCell="J21" sqref="J21"/>
    </sheetView>
  </sheetViews>
  <sheetFormatPr defaultRowHeight="15" x14ac:dyDescent="0.25"/>
  <cols>
    <col min="1" max="3" width="16" customWidth="1"/>
    <col min="4" max="4" width="14" customWidth="1"/>
    <col min="5" max="5" width="10" customWidth="1"/>
  </cols>
  <sheetData>
    <row r="1" spans="1:10" ht="30" customHeight="1" x14ac:dyDescent="0.25">
      <c r="A1" s="22" t="s">
        <v>141</v>
      </c>
      <c r="B1" s="22"/>
      <c r="C1" s="22"/>
      <c r="D1" s="22"/>
      <c r="E1" s="22"/>
      <c r="F1" s="22"/>
      <c r="G1" s="22"/>
      <c r="H1" s="22"/>
      <c r="I1" s="22"/>
      <c r="J1" s="22"/>
    </row>
    <row r="2" spans="1:10" ht="30" x14ac:dyDescent="0.25">
      <c r="A2" s="1" t="s">
        <v>123</v>
      </c>
      <c r="B2" s="23" t="s">
        <v>142</v>
      </c>
      <c r="C2" s="23"/>
      <c r="D2" s="23"/>
      <c r="E2" s="23"/>
      <c r="F2" s="23"/>
      <c r="G2" s="23"/>
      <c r="H2" s="23"/>
      <c r="I2" s="23"/>
      <c r="J2" s="23"/>
    </row>
    <row r="3" spans="1:10" ht="75.75" customHeight="1" x14ac:dyDescent="0.25">
      <c r="A3" s="2" t="s">
        <v>124</v>
      </c>
      <c r="B3" s="24" t="s">
        <v>125</v>
      </c>
      <c r="C3" s="24"/>
      <c r="D3" s="24"/>
      <c r="E3" s="24"/>
      <c r="F3" s="24"/>
      <c r="G3" s="24"/>
      <c r="H3" s="24"/>
      <c r="I3" s="24"/>
      <c r="J3" s="24"/>
    </row>
    <row r="4" spans="1:10" ht="29.25" customHeight="1" x14ac:dyDescent="0.25">
      <c r="A4" s="2" t="s">
        <v>126</v>
      </c>
      <c r="B4" s="24" t="s">
        <v>143</v>
      </c>
      <c r="C4" s="24"/>
      <c r="D4" s="24"/>
      <c r="E4" s="24"/>
      <c r="F4" s="24"/>
      <c r="G4" s="24"/>
      <c r="H4" s="24"/>
      <c r="I4" s="24"/>
      <c r="J4" s="24"/>
    </row>
    <row r="7" spans="1:10" x14ac:dyDescent="0.25">
      <c r="A7" s="3" t="s">
        <v>3</v>
      </c>
      <c r="B7" s="3" t="s">
        <v>127</v>
      </c>
      <c r="C7" s="20" t="s">
        <v>144</v>
      </c>
      <c r="D7" s="3" t="s">
        <v>128</v>
      </c>
      <c r="E7" s="3" t="s">
        <v>129</v>
      </c>
    </row>
    <row r="8" spans="1:10" x14ac:dyDescent="0.25">
      <c r="A8" s="4" t="s">
        <v>15</v>
      </c>
      <c r="B8" s="5">
        <v>84</v>
      </c>
      <c r="C8" s="5">
        <v>77</v>
      </c>
      <c r="D8" s="5">
        <v>45</v>
      </c>
      <c r="E8" s="6" t="s">
        <v>130</v>
      </c>
    </row>
    <row r="9" spans="1:10" x14ac:dyDescent="0.25">
      <c r="A9" s="7" t="s">
        <v>101</v>
      </c>
      <c r="B9" s="5">
        <v>417</v>
      </c>
      <c r="C9" s="5">
        <v>406</v>
      </c>
      <c r="D9" s="5">
        <v>281</v>
      </c>
      <c r="E9" s="21" t="s">
        <v>145</v>
      </c>
    </row>
    <row r="10" spans="1:10" x14ac:dyDescent="0.25">
      <c r="A10" s="8" t="s">
        <v>109</v>
      </c>
      <c r="B10" s="5">
        <v>206</v>
      </c>
      <c r="C10" s="5">
        <v>166</v>
      </c>
      <c r="D10" s="5">
        <v>137</v>
      </c>
      <c r="E10" s="6" t="s">
        <v>131</v>
      </c>
    </row>
    <row r="11" spans="1:10" x14ac:dyDescent="0.25">
      <c r="A11" s="11" t="s">
        <v>134</v>
      </c>
      <c r="B11" s="11">
        <f>SUM(B8:B10)</f>
        <v>707</v>
      </c>
      <c r="C11" s="11">
        <f>SUM(C8:C10)</f>
        <v>649</v>
      </c>
      <c r="D11" s="11">
        <f>SUM(D8:D10)</f>
        <v>463</v>
      </c>
      <c r="E11" s="21" t="s">
        <v>146</v>
      </c>
    </row>
  </sheetData>
  <mergeCells count="4">
    <mergeCell ref="A1:J1"/>
    <mergeCell ref="B2:J2"/>
    <mergeCell ref="B3:J3"/>
    <mergeCell ref="B4:J4"/>
  </mergeCells>
  <pageMargins left="0.75" right="0.75" top="1" bottom="1" header="0.5" footer="0.5"/>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12"/>
  <sheetViews>
    <sheetView workbookViewId="0">
      <pane ySplit="1" topLeftCell="A3" activePane="bottomLeft" state="frozen"/>
      <selection pane="bottomLeft" activeCell="C18" sqref="C18"/>
    </sheetView>
  </sheetViews>
  <sheetFormatPr defaultRowHeight="15" x14ac:dyDescent="0.25"/>
  <cols>
    <col min="1" max="1" width="8" customWidth="1"/>
    <col min="2" max="2" width="15" customWidth="1"/>
    <col min="3" max="3" width="40" customWidth="1"/>
    <col min="4" max="4" width="12" style="13" customWidth="1"/>
    <col min="5" max="5" width="10" style="13" customWidth="1"/>
    <col min="6" max="7" width="50" customWidth="1"/>
    <col min="8" max="8" width="40" customWidth="1"/>
    <col min="9" max="9" width="8" customWidth="1"/>
    <col min="10" max="10" width="10" customWidth="1"/>
    <col min="11" max="11" width="20" customWidth="1"/>
    <col min="12" max="12" width="50" customWidth="1"/>
    <col min="13" max="13" width="40" customWidth="1"/>
  </cols>
  <sheetData>
    <row r="1" spans="1:13" ht="20.100000000000001" customHeight="1" x14ac:dyDescent="0.25">
      <c r="A1" s="12" t="s">
        <v>0</v>
      </c>
      <c r="B1" s="12" t="s">
        <v>1</v>
      </c>
      <c r="C1" s="12" t="s">
        <v>2</v>
      </c>
      <c r="D1" s="12" t="s">
        <v>3</v>
      </c>
      <c r="E1" s="12" t="s">
        <v>4</v>
      </c>
      <c r="F1" s="12" t="s">
        <v>5</v>
      </c>
      <c r="G1" s="12" t="s">
        <v>6</v>
      </c>
      <c r="H1" s="12" t="s">
        <v>7</v>
      </c>
      <c r="I1" s="12" t="s">
        <v>8</v>
      </c>
      <c r="J1" s="12" t="s">
        <v>9</v>
      </c>
      <c r="K1" s="12" t="s">
        <v>10</v>
      </c>
      <c r="L1" s="12" t="s">
        <v>11</v>
      </c>
      <c r="M1" s="12" t="s">
        <v>12</v>
      </c>
    </row>
    <row r="2" spans="1:13" x14ac:dyDescent="0.25">
      <c r="A2" s="14">
        <v>1</v>
      </c>
      <c r="B2" s="15" t="s">
        <v>13</v>
      </c>
      <c r="C2" s="15" t="s">
        <v>14</v>
      </c>
      <c r="D2" s="16" t="s">
        <v>15</v>
      </c>
      <c r="E2" s="17" t="s">
        <v>16</v>
      </c>
      <c r="F2" s="15" t="s">
        <v>17</v>
      </c>
      <c r="G2" s="15" t="s">
        <v>18</v>
      </c>
      <c r="H2" s="15" t="s">
        <v>19</v>
      </c>
      <c r="I2" s="15" t="s">
        <v>20</v>
      </c>
      <c r="J2" s="15" t="s">
        <v>21</v>
      </c>
      <c r="K2" s="15" t="s">
        <v>22</v>
      </c>
      <c r="L2" s="15" t="s">
        <v>23</v>
      </c>
      <c r="M2" s="15" t="s">
        <v>24</v>
      </c>
    </row>
    <row r="3" spans="1:13" x14ac:dyDescent="0.25">
      <c r="A3" s="14">
        <v>2</v>
      </c>
      <c r="B3" s="15" t="s">
        <v>13</v>
      </c>
      <c r="C3" s="15" t="s">
        <v>25</v>
      </c>
      <c r="D3" s="16" t="s">
        <v>15</v>
      </c>
      <c r="E3" s="17" t="s">
        <v>16</v>
      </c>
      <c r="F3" s="15" t="s">
        <v>26</v>
      </c>
      <c r="G3" s="15" t="s">
        <v>27</v>
      </c>
      <c r="H3" s="15" t="s">
        <v>28</v>
      </c>
      <c r="I3" s="15" t="s">
        <v>20</v>
      </c>
      <c r="J3" s="15" t="s">
        <v>21</v>
      </c>
      <c r="K3" s="15" t="s">
        <v>29</v>
      </c>
      <c r="L3" s="15" t="s">
        <v>30</v>
      </c>
      <c r="M3" s="15" t="s">
        <v>31</v>
      </c>
    </row>
    <row r="4" spans="1:13" x14ac:dyDescent="0.25">
      <c r="A4" s="14">
        <v>3</v>
      </c>
      <c r="B4" s="15" t="s">
        <v>13</v>
      </c>
      <c r="C4" s="15" t="s">
        <v>32</v>
      </c>
      <c r="D4" s="16" t="s">
        <v>15</v>
      </c>
      <c r="E4" s="17" t="s">
        <v>16</v>
      </c>
      <c r="F4" s="15" t="s">
        <v>33</v>
      </c>
      <c r="G4" s="15" t="s">
        <v>34</v>
      </c>
      <c r="H4" s="15" t="s">
        <v>35</v>
      </c>
      <c r="I4" s="15" t="s">
        <v>20</v>
      </c>
      <c r="J4" s="15" t="s">
        <v>21</v>
      </c>
      <c r="K4" s="15" t="s">
        <v>36</v>
      </c>
      <c r="L4" s="15" t="s">
        <v>37</v>
      </c>
      <c r="M4" s="15" t="s">
        <v>38</v>
      </c>
    </row>
    <row r="5" spans="1:13" x14ac:dyDescent="0.25">
      <c r="A5" s="14">
        <v>4</v>
      </c>
      <c r="B5" s="15" t="s">
        <v>13</v>
      </c>
      <c r="C5" s="15" t="s">
        <v>39</v>
      </c>
      <c r="D5" s="16" t="s">
        <v>15</v>
      </c>
      <c r="E5" s="17" t="s">
        <v>16</v>
      </c>
      <c r="F5" s="15" t="s">
        <v>40</v>
      </c>
      <c r="G5" s="15" t="s">
        <v>41</v>
      </c>
      <c r="H5" s="15" t="s">
        <v>42</v>
      </c>
      <c r="I5" s="15" t="s">
        <v>20</v>
      </c>
      <c r="J5" s="15" t="s">
        <v>21</v>
      </c>
      <c r="K5" s="15" t="s">
        <v>43</v>
      </c>
      <c r="L5" s="15" t="s">
        <v>44</v>
      </c>
      <c r="M5" s="15" t="s">
        <v>45</v>
      </c>
    </row>
    <row r="6" spans="1:13" x14ac:dyDescent="0.25">
      <c r="A6" s="14">
        <v>5</v>
      </c>
      <c r="B6" s="15" t="s">
        <v>13</v>
      </c>
      <c r="C6" s="15" t="s">
        <v>46</v>
      </c>
      <c r="D6" s="16" t="s">
        <v>15</v>
      </c>
      <c r="E6" s="17" t="s">
        <v>16</v>
      </c>
      <c r="F6" s="15" t="s">
        <v>47</v>
      </c>
      <c r="G6" s="15" t="s">
        <v>48</v>
      </c>
      <c r="H6" s="15" t="s">
        <v>49</v>
      </c>
      <c r="I6" s="15" t="s">
        <v>20</v>
      </c>
      <c r="J6" s="15" t="s">
        <v>21</v>
      </c>
      <c r="K6" s="15" t="s">
        <v>50</v>
      </c>
      <c r="L6" s="15" t="s">
        <v>51</v>
      </c>
      <c r="M6" s="15" t="s">
        <v>52</v>
      </c>
    </row>
    <row r="7" spans="1:13" x14ac:dyDescent="0.25">
      <c r="A7" s="14">
        <v>6</v>
      </c>
      <c r="B7" s="15" t="s">
        <v>13</v>
      </c>
      <c r="C7" s="15" t="s">
        <v>53</v>
      </c>
      <c r="D7" s="16" t="s">
        <v>15</v>
      </c>
      <c r="E7" s="17" t="s">
        <v>16</v>
      </c>
      <c r="F7" s="15" t="s">
        <v>54</v>
      </c>
      <c r="G7" s="15" t="s">
        <v>55</v>
      </c>
      <c r="H7" s="15" t="s">
        <v>56</v>
      </c>
      <c r="I7" s="15" t="s">
        <v>20</v>
      </c>
      <c r="J7" s="15" t="s">
        <v>21</v>
      </c>
      <c r="K7" s="15" t="s">
        <v>57</v>
      </c>
      <c r="L7" s="15" t="s">
        <v>58</v>
      </c>
      <c r="M7" s="15" t="s">
        <v>59</v>
      </c>
    </row>
    <row r="8" spans="1:13" x14ac:dyDescent="0.25">
      <c r="A8" s="14">
        <v>7</v>
      </c>
      <c r="B8" s="15" t="s">
        <v>60</v>
      </c>
      <c r="C8" s="15" t="s">
        <v>61</v>
      </c>
      <c r="D8" s="16" t="s">
        <v>15</v>
      </c>
      <c r="E8" s="18" t="s">
        <v>62</v>
      </c>
      <c r="F8" s="15" t="s">
        <v>63</v>
      </c>
      <c r="G8" s="15" t="s">
        <v>64</v>
      </c>
      <c r="H8" s="15" t="s">
        <v>65</v>
      </c>
      <c r="I8" s="15" t="s">
        <v>20</v>
      </c>
      <c r="J8" s="15" t="s">
        <v>21</v>
      </c>
      <c r="K8" s="15" t="s">
        <v>66</v>
      </c>
      <c r="L8" s="15" t="s">
        <v>67</v>
      </c>
      <c r="M8" s="15" t="s">
        <v>68</v>
      </c>
    </row>
    <row r="9" spans="1:13" x14ac:dyDescent="0.25">
      <c r="A9" s="14">
        <v>8</v>
      </c>
      <c r="B9" s="15" t="s">
        <v>60</v>
      </c>
      <c r="C9" s="15" t="s">
        <v>69</v>
      </c>
      <c r="D9" s="16" t="s">
        <v>15</v>
      </c>
      <c r="E9" s="18" t="s">
        <v>62</v>
      </c>
      <c r="F9" s="15" t="s">
        <v>63</v>
      </c>
      <c r="G9" s="15" t="s">
        <v>70</v>
      </c>
      <c r="H9" s="15" t="s">
        <v>71</v>
      </c>
      <c r="I9" s="15" t="s">
        <v>20</v>
      </c>
      <c r="J9" s="15" t="s">
        <v>21</v>
      </c>
      <c r="K9" s="15" t="s">
        <v>72</v>
      </c>
      <c r="L9" s="15" t="s">
        <v>73</v>
      </c>
      <c r="M9" s="15" t="s">
        <v>74</v>
      </c>
    </row>
    <row r="10" spans="1:13" x14ac:dyDescent="0.25">
      <c r="A10" s="14">
        <v>9</v>
      </c>
      <c r="B10" s="15" t="s">
        <v>75</v>
      </c>
      <c r="C10" s="15" t="s">
        <v>76</v>
      </c>
      <c r="D10" s="16" t="s">
        <v>15</v>
      </c>
      <c r="E10" s="18" t="s">
        <v>62</v>
      </c>
      <c r="F10" s="15" t="s">
        <v>77</v>
      </c>
      <c r="G10" s="15" t="s">
        <v>78</v>
      </c>
      <c r="H10" s="15" t="s">
        <v>79</v>
      </c>
      <c r="I10" s="15" t="s">
        <v>80</v>
      </c>
      <c r="J10" s="15" t="s">
        <v>21</v>
      </c>
      <c r="K10" s="15" t="s">
        <v>81</v>
      </c>
      <c r="L10" s="15" t="s">
        <v>82</v>
      </c>
      <c r="M10" s="15" t="s">
        <v>83</v>
      </c>
    </row>
    <row r="11" spans="1:13" x14ac:dyDescent="0.25">
      <c r="A11" s="14">
        <v>10</v>
      </c>
      <c r="B11" s="15" t="s">
        <v>84</v>
      </c>
      <c r="C11" s="15" t="s">
        <v>85</v>
      </c>
      <c r="D11" s="16" t="s">
        <v>15</v>
      </c>
      <c r="E11" s="19" t="s">
        <v>86</v>
      </c>
      <c r="F11" s="15" t="s">
        <v>87</v>
      </c>
      <c r="G11" s="15"/>
      <c r="H11" s="15" t="s">
        <v>88</v>
      </c>
      <c r="I11" s="15" t="s">
        <v>20</v>
      </c>
      <c r="J11" s="15" t="s">
        <v>21</v>
      </c>
      <c r="K11" s="15" t="s">
        <v>89</v>
      </c>
      <c r="L11" s="15" t="s">
        <v>90</v>
      </c>
      <c r="M11" s="15" t="s">
        <v>91</v>
      </c>
    </row>
    <row r="12" spans="1:13" x14ac:dyDescent="0.25">
      <c r="A12" s="14">
        <v>11</v>
      </c>
      <c r="B12" s="15" t="s">
        <v>84</v>
      </c>
      <c r="C12" s="15" t="s">
        <v>92</v>
      </c>
      <c r="D12" s="16" t="s">
        <v>15</v>
      </c>
      <c r="E12" s="19" t="s">
        <v>86</v>
      </c>
      <c r="F12" s="15" t="s">
        <v>93</v>
      </c>
      <c r="G12" s="15"/>
      <c r="H12" s="15" t="s">
        <v>94</v>
      </c>
      <c r="I12" s="15" t="s">
        <v>20</v>
      </c>
      <c r="J12" s="15" t="s">
        <v>21</v>
      </c>
      <c r="K12" s="15" t="s">
        <v>95</v>
      </c>
      <c r="L12" s="15" t="s">
        <v>90</v>
      </c>
      <c r="M12" s="15" t="s">
        <v>96</v>
      </c>
    </row>
  </sheetData>
  <autoFilter ref="A1:M12" xr:uid="{00000000-0001-0000-0100-000000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34"/>
  <sheetViews>
    <sheetView workbookViewId="0">
      <pane ySplit="1" topLeftCell="A2" activePane="bottomLeft" state="frozen"/>
      <selection pane="bottomLeft" sqref="A1:G34"/>
    </sheetView>
  </sheetViews>
  <sheetFormatPr defaultRowHeight="15" x14ac:dyDescent="0.25"/>
  <cols>
    <col min="1" max="1" width="18" customWidth="1"/>
    <col min="2" max="7" width="14" customWidth="1"/>
  </cols>
  <sheetData>
    <row r="1" spans="1:7" x14ac:dyDescent="0.25">
      <c r="A1" s="3" t="s">
        <v>1</v>
      </c>
      <c r="B1" s="3" t="s">
        <v>15</v>
      </c>
      <c r="C1" s="3" t="s">
        <v>101</v>
      </c>
      <c r="D1" s="3" t="s">
        <v>109</v>
      </c>
      <c r="E1" s="3" t="s">
        <v>132</v>
      </c>
      <c r="F1" s="3" t="s">
        <v>133</v>
      </c>
      <c r="G1" s="3" t="s">
        <v>135</v>
      </c>
    </row>
    <row r="2" spans="1:7" x14ac:dyDescent="0.25">
      <c r="A2" s="5" t="s">
        <v>13</v>
      </c>
      <c r="B2" s="4">
        <v>38</v>
      </c>
      <c r="C2" s="7">
        <v>240</v>
      </c>
      <c r="D2" s="8">
        <v>89</v>
      </c>
      <c r="E2" s="9">
        <v>6</v>
      </c>
      <c r="F2" s="10">
        <v>183</v>
      </c>
      <c r="G2" s="5">
        <v>556</v>
      </c>
    </row>
    <row r="3" spans="1:7" x14ac:dyDescent="0.25">
      <c r="A3" s="5" t="s">
        <v>60</v>
      </c>
      <c r="B3" s="4">
        <v>23</v>
      </c>
      <c r="C3" s="7">
        <v>118</v>
      </c>
      <c r="D3" s="8">
        <v>37</v>
      </c>
      <c r="E3" s="9">
        <v>3</v>
      </c>
      <c r="F3" s="10">
        <v>88</v>
      </c>
      <c r="G3" s="5">
        <v>269</v>
      </c>
    </row>
    <row r="4" spans="1:7" x14ac:dyDescent="0.25">
      <c r="A4" s="5" t="s">
        <v>84</v>
      </c>
      <c r="B4" s="4">
        <v>23</v>
      </c>
      <c r="C4" s="7">
        <v>121</v>
      </c>
      <c r="D4" s="8">
        <v>41</v>
      </c>
      <c r="E4" s="9">
        <v>2</v>
      </c>
      <c r="F4" s="10">
        <v>60</v>
      </c>
      <c r="G4" s="5">
        <v>247</v>
      </c>
    </row>
    <row r="5" spans="1:7" x14ac:dyDescent="0.25">
      <c r="A5" s="5" t="s">
        <v>98</v>
      </c>
      <c r="B5" s="4">
        <v>27</v>
      </c>
      <c r="C5" s="7">
        <v>126</v>
      </c>
      <c r="D5" s="8">
        <v>50</v>
      </c>
      <c r="E5" s="9">
        <v>4</v>
      </c>
      <c r="F5" s="10">
        <v>15</v>
      </c>
      <c r="G5" s="5">
        <v>222</v>
      </c>
    </row>
    <row r="6" spans="1:7" x14ac:dyDescent="0.25">
      <c r="A6" s="5" t="s">
        <v>102</v>
      </c>
      <c r="B6" s="5">
        <v>0</v>
      </c>
      <c r="C6" s="7">
        <v>3</v>
      </c>
      <c r="D6" s="8">
        <v>3</v>
      </c>
      <c r="E6" s="9">
        <v>2</v>
      </c>
      <c r="F6" s="10">
        <v>145</v>
      </c>
      <c r="G6" s="5">
        <v>153</v>
      </c>
    </row>
    <row r="7" spans="1:7" x14ac:dyDescent="0.25">
      <c r="A7" s="5" t="s">
        <v>103</v>
      </c>
      <c r="B7" s="5">
        <v>0</v>
      </c>
      <c r="C7" s="7">
        <v>3</v>
      </c>
      <c r="D7" s="8">
        <v>3</v>
      </c>
      <c r="E7" s="9">
        <v>2</v>
      </c>
      <c r="F7" s="10">
        <v>144</v>
      </c>
      <c r="G7" s="5">
        <v>152</v>
      </c>
    </row>
    <row r="8" spans="1:7" x14ac:dyDescent="0.25">
      <c r="A8" s="5" t="s">
        <v>97</v>
      </c>
      <c r="B8" s="4">
        <v>6</v>
      </c>
      <c r="C8" s="7">
        <v>61</v>
      </c>
      <c r="D8" s="8">
        <v>18</v>
      </c>
      <c r="E8" s="9">
        <v>2</v>
      </c>
      <c r="F8" s="10">
        <v>60</v>
      </c>
      <c r="G8" s="5">
        <v>147</v>
      </c>
    </row>
    <row r="9" spans="1:7" x14ac:dyDescent="0.25">
      <c r="A9" s="5" t="s">
        <v>75</v>
      </c>
      <c r="B9" s="4">
        <v>2</v>
      </c>
      <c r="C9" s="7">
        <v>2</v>
      </c>
      <c r="D9" s="8">
        <v>4</v>
      </c>
      <c r="E9" s="9">
        <v>2</v>
      </c>
      <c r="F9" s="10">
        <v>134</v>
      </c>
      <c r="G9" s="5">
        <v>144</v>
      </c>
    </row>
    <row r="10" spans="1:7" x14ac:dyDescent="0.25">
      <c r="A10" s="5" t="s">
        <v>107</v>
      </c>
      <c r="B10" s="5">
        <v>0</v>
      </c>
      <c r="C10" s="7">
        <v>5</v>
      </c>
      <c r="D10" s="8">
        <v>6</v>
      </c>
      <c r="E10" s="9">
        <v>2</v>
      </c>
      <c r="F10" s="10">
        <v>112</v>
      </c>
      <c r="G10" s="5">
        <v>125</v>
      </c>
    </row>
    <row r="11" spans="1:7" x14ac:dyDescent="0.25">
      <c r="A11" s="5" t="s">
        <v>99</v>
      </c>
      <c r="B11" s="4">
        <v>2</v>
      </c>
      <c r="C11" s="7">
        <v>2</v>
      </c>
      <c r="D11" s="8">
        <v>4</v>
      </c>
      <c r="E11" s="9">
        <v>3</v>
      </c>
      <c r="F11" s="10">
        <v>100</v>
      </c>
      <c r="G11" s="5">
        <v>111</v>
      </c>
    </row>
    <row r="12" spans="1:7" x14ac:dyDescent="0.25">
      <c r="A12" s="5" t="s">
        <v>117</v>
      </c>
      <c r="B12" s="5">
        <v>0</v>
      </c>
      <c r="C12" s="5">
        <v>0</v>
      </c>
      <c r="D12" s="8">
        <v>1</v>
      </c>
      <c r="E12" s="9">
        <v>3</v>
      </c>
      <c r="F12" s="10">
        <v>97</v>
      </c>
      <c r="G12" s="5">
        <v>101</v>
      </c>
    </row>
    <row r="13" spans="1:7" x14ac:dyDescent="0.25">
      <c r="A13" s="5" t="s">
        <v>136</v>
      </c>
      <c r="B13" s="5">
        <v>0</v>
      </c>
      <c r="C13" s="5">
        <v>0</v>
      </c>
      <c r="D13" s="5">
        <v>0</v>
      </c>
      <c r="E13" s="9">
        <v>1</v>
      </c>
      <c r="F13" s="10">
        <v>98</v>
      </c>
      <c r="G13" s="5">
        <v>99</v>
      </c>
    </row>
    <row r="14" spans="1:7" x14ac:dyDescent="0.25">
      <c r="A14" s="5" t="s">
        <v>120</v>
      </c>
      <c r="B14" s="5">
        <v>0</v>
      </c>
      <c r="C14" s="5">
        <v>0</v>
      </c>
      <c r="D14" s="8">
        <v>2</v>
      </c>
      <c r="E14" s="9">
        <v>1</v>
      </c>
      <c r="F14" s="10">
        <v>96</v>
      </c>
      <c r="G14" s="5">
        <v>99</v>
      </c>
    </row>
    <row r="15" spans="1:7" x14ac:dyDescent="0.25">
      <c r="A15" s="5" t="s">
        <v>100</v>
      </c>
      <c r="B15" s="4">
        <v>1</v>
      </c>
      <c r="C15" s="7">
        <v>2</v>
      </c>
      <c r="D15" s="8">
        <v>4</v>
      </c>
      <c r="E15" s="9">
        <v>1</v>
      </c>
      <c r="F15" s="10">
        <v>90</v>
      </c>
      <c r="G15" s="5">
        <v>98</v>
      </c>
    </row>
    <row r="16" spans="1:7" x14ac:dyDescent="0.25">
      <c r="A16" s="5" t="s">
        <v>115</v>
      </c>
      <c r="B16" s="5">
        <v>0</v>
      </c>
      <c r="C16" s="5">
        <v>0</v>
      </c>
      <c r="D16" s="8">
        <v>2</v>
      </c>
      <c r="E16" s="9">
        <v>2</v>
      </c>
      <c r="F16" s="10">
        <v>85</v>
      </c>
      <c r="G16" s="5">
        <v>89</v>
      </c>
    </row>
    <row r="17" spans="1:7" x14ac:dyDescent="0.25">
      <c r="A17" s="5" t="s">
        <v>104</v>
      </c>
      <c r="B17" s="5">
        <v>0</v>
      </c>
      <c r="C17" s="7">
        <v>1</v>
      </c>
      <c r="D17" s="8">
        <v>1</v>
      </c>
      <c r="E17" s="9">
        <v>2</v>
      </c>
      <c r="F17" s="10">
        <v>80</v>
      </c>
      <c r="G17" s="5">
        <v>84</v>
      </c>
    </row>
    <row r="18" spans="1:7" x14ac:dyDescent="0.25">
      <c r="A18" s="5" t="s">
        <v>110</v>
      </c>
      <c r="B18" s="5">
        <v>0</v>
      </c>
      <c r="C18" s="5">
        <v>0</v>
      </c>
      <c r="D18" s="8">
        <v>2</v>
      </c>
      <c r="E18" s="9">
        <v>2</v>
      </c>
      <c r="F18" s="10">
        <v>78</v>
      </c>
      <c r="G18" s="5">
        <v>82</v>
      </c>
    </row>
    <row r="19" spans="1:7" x14ac:dyDescent="0.25">
      <c r="A19" s="5" t="s">
        <v>108</v>
      </c>
      <c r="B19" s="5">
        <v>0</v>
      </c>
      <c r="C19" s="7">
        <v>1</v>
      </c>
      <c r="D19" s="8">
        <v>3</v>
      </c>
      <c r="E19" s="9">
        <v>1</v>
      </c>
      <c r="F19" s="10">
        <v>68</v>
      </c>
      <c r="G19" s="5">
        <v>73</v>
      </c>
    </row>
    <row r="20" spans="1:7" x14ac:dyDescent="0.25">
      <c r="A20" s="5" t="s">
        <v>118</v>
      </c>
      <c r="B20" s="5">
        <v>0</v>
      </c>
      <c r="C20" s="5">
        <v>0</v>
      </c>
      <c r="D20" s="8">
        <v>1</v>
      </c>
      <c r="E20" s="5">
        <v>0</v>
      </c>
      <c r="F20" s="10">
        <v>61</v>
      </c>
      <c r="G20" s="5">
        <v>62</v>
      </c>
    </row>
    <row r="21" spans="1:7" x14ac:dyDescent="0.25">
      <c r="A21" s="5" t="s">
        <v>114</v>
      </c>
      <c r="B21" s="5">
        <v>0</v>
      </c>
      <c r="C21" s="5">
        <v>0</v>
      </c>
      <c r="D21" s="8">
        <v>2</v>
      </c>
      <c r="E21" s="9">
        <v>2</v>
      </c>
      <c r="F21" s="10">
        <v>54</v>
      </c>
      <c r="G21" s="5">
        <v>58</v>
      </c>
    </row>
    <row r="22" spans="1:7" x14ac:dyDescent="0.25">
      <c r="A22" s="5" t="s">
        <v>116</v>
      </c>
      <c r="B22" s="5">
        <v>0</v>
      </c>
      <c r="C22" s="5">
        <v>0</v>
      </c>
      <c r="D22" s="8">
        <v>2</v>
      </c>
      <c r="E22" s="9">
        <v>2</v>
      </c>
      <c r="F22" s="10">
        <v>52</v>
      </c>
      <c r="G22" s="5">
        <v>56</v>
      </c>
    </row>
    <row r="23" spans="1:7" x14ac:dyDescent="0.25">
      <c r="A23" s="5" t="s">
        <v>105</v>
      </c>
      <c r="B23" s="5">
        <v>0</v>
      </c>
      <c r="C23" s="7">
        <v>1</v>
      </c>
      <c r="D23" s="8">
        <v>4</v>
      </c>
      <c r="E23" s="5">
        <v>0</v>
      </c>
      <c r="F23" s="10">
        <v>50</v>
      </c>
      <c r="G23" s="5">
        <v>55</v>
      </c>
    </row>
    <row r="24" spans="1:7" x14ac:dyDescent="0.25">
      <c r="A24" s="5" t="s">
        <v>119</v>
      </c>
      <c r="B24" s="5">
        <v>0</v>
      </c>
      <c r="C24" s="5">
        <v>0</v>
      </c>
      <c r="D24" s="8">
        <v>3</v>
      </c>
      <c r="E24" s="9">
        <v>1</v>
      </c>
      <c r="F24" s="10">
        <v>48</v>
      </c>
      <c r="G24" s="5">
        <v>52</v>
      </c>
    </row>
    <row r="25" spans="1:7" x14ac:dyDescent="0.25">
      <c r="A25" s="5" t="s">
        <v>121</v>
      </c>
      <c r="B25" s="5">
        <v>0</v>
      </c>
      <c r="C25" s="5">
        <v>0</v>
      </c>
      <c r="D25" s="8">
        <v>1</v>
      </c>
      <c r="E25" s="5">
        <v>0</v>
      </c>
      <c r="F25" s="10">
        <v>43</v>
      </c>
      <c r="G25" s="5">
        <v>44</v>
      </c>
    </row>
    <row r="26" spans="1:7" x14ac:dyDescent="0.25">
      <c r="A26" s="5" t="s">
        <v>113</v>
      </c>
      <c r="B26" s="5">
        <v>0</v>
      </c>
      <c r="C26" s="5">
        <v>0</v>
      </c>
      <c r="D26" s="8">
        <v>3</v>
      </c>
      <c r="E26" s="9">
        <v>1</v>
      </c>
      <c r="F26" s="10">
        <v>37</v>
      </c>
      <c r="G26" s="5">
        <v>41</v>
      </c>
    </row>
    <row r="27" spans="1:7" x14ac:dyDescent="0.25">
      <c r="A27" s="5" t="s">
        <v>137</v>
      </c>
      <c r="B27" s="5">
        <v>0</v>
      </c>
      <c r="C27" s="5">
        <v>0</v>
      </c>
      <c r="D27" s="5">
        <v>0</v>
      </c>
      <c r="E27" s="5">
        <v>0</v>
      </c>
      <c r="F27" s="10">
        <v>38</v>
      </c>
      <c r="G27" s="5">
        <v>38</v>
      </c>
    </row>
    <row r="28" spans="1:7" x14ac:dyDescent="0.25">
      <c r="A28" s="5" t="s">
        <v>112</v>
      </c>
      <c r="B28" s="5">
        <v>0</v>
      </c>
      <c r="C28" s="5">
        <v>0</v>
      </c>
      <c r="D28" s="8">
        <v>11</v>
      </c>
      <c r="E28" s="5">
        <v>0</v>
      </c>
      <c r="F28" s="10">
        <v>14</v>
      </c>
      <c r="G28" s="5">
        <v>25</v>
      </c>
    </row>
    <row r="29" spans="1:7" x14ac:dyDescent="0.25">
      <c r="A29" s="5" t="s">
        <v>106</v>
      </c>
      <c r="B29" s="5">
        <v>0</v>
      </c>
      <c r="C29" s="7">
        <v>1</v>
      </c>
      <c r="D29" s="8">
        <v>3</v>
      </c>
      <c r="E29" s="5">
        <v>0</v>
      </c>
      <c r="F29" s="10">
        <v>3</v>
      </c>
      <c r="G29" s="5">
        <v>7</v>
      </c>
    </row>
    <row r="30" spans="1:7" x14ac:dyDescent="0.25">
      <c r="A30" s="5" t="s">
        <v>111</v>
      </c>
      <c r="B30" s="5">
        <v>0</v>
      </c>
      <c r="C30" s="5">
        <v>0</v>
      </c>
      <c r="D30" s="8">
        <v>2</v>
      </c>
      <c r="E30" s="9">
        <v>3</v>
      </c>
      <c r="F30" s="5">
        <v>0</v>
      </c>
      <c r="G30" s="5">
        <v>5</v>
      </c>
    </row>
    <row r="31" spans="1:7" x14ac:dyDescent="0.25">
      <c r="A31" s="5" t="s">
        <v>138</v>
      </c>
      <c r="B31" s="5">
        <v>0</v>
      </c>
      <c r="C31" s="5">
        <v>0</v>
      </c>
      <c r="D31" s="5">
        <v>0</v>
      </c>
      <c r="E31" s="9">
        <v>1</v>
      </c>
      <c r="F31" s="10">
        <v>3</v>
      </c>
      <c r="G31" s="5">
        <v>4</v>
      </c>
    </row>
    <row r="32" spans="1:7" x14ac:dyDescent="0.25">
      <c r="A32" s="5" t="s">
        <v>139</v>
      </c>
      <c r="B32" s="5">
        <v>0</v>
      </c>
      <c r="C32" s="5">
        <v>0</v>
      </c>
      <c r="D32" s="5">
        <v>0</v>
      </c>
      <c r="E32" s="9">
        <v>1</v>
      </c>
      <c r="F32" s="10">
        <v>3</v>
      </c>
      <c r="G32" s="5">
        <v>4</v>
      </c>
    </row>
    <row r="33" spans="1:7" x14ac:dyDescent="0.25">
      <c r="A33" s="5" t="s">
        <v>122</v>
      </c>
      <c r="B33" s="5">
        <v>0</v>
      </c>
      <c r="C33" s="5">
        <v>0</v>
      </c>
      <c r="D33" s="8">
        <v>1</v>
      </c>
      <c r="E33" s="9">
        <v>2</v>
      </c>
      <c r="F33" s="5">
        <v>0</v>
      </c>
      <c r="G33" s="5">
        <v>3</v>
      </c>
    </row>
    <row r="34" spans="1:7" x14ac:dyDescent="0.25">
      <c r="A34" s="5" t="s">
        <v>140</v>
      </c>
      <c r="B34" s="5">
        <v>0</v>
      </c>
      <c r="C34" s="5">
        <v>0</v>
      </c>
      <c r="D34" s="5">
        <v>0</v>
      </c>
      <c r="E34" s="9">
        <v>3</v>
      </c>
      <c r="F34" s="5">
        <v>0</v>
      </c>
      <c r="G34" s="5">
        <v>3</v>
      </c>
    </row>
  </sheetData>
  <autoFilter ref="A1:G34" xr:uid="{00000000-0009-0000-0000-000002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Summary</vt:lpstr>
      <vt:lpstr>Findings</vt:lpstr>
      <vt:lpstr>IP-Summary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VAPT Trustaira</cp:lastModifiedBy>
  <dcterms:created xsi:type="dcterms:W3CDTF">2026-03-09T05:33:30Z</dcterms:created>
  <dcterms:modified xsi:type="dcterms:W3CDTF">2026-04-13T06:25:53Z</dcterms:modified>
</cp:coreProperties>
</file>